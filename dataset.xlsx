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n\Downloads\"/>
    </mc:Choice>
  </mc:AlternateContent>
  <xr:revisionPtr revIDLastSave="0" documentId="13_ncr:1_{328A24C2-A553-4F2C-8C8E-6B575D7AEA6C}" xr6:coauthVersionLast="47" xr6:coauthVersionMax="47" xr10:uidLastSave="{00000000-0000-0000-0000-000000000000}"/>
  <bookViews>
    <workbookView xWindow="-108" yWindow="-108" windowWidth="23256" windowHeight="12456" xr2:uid="{28FD6036-B8D8-4E60-A4F1-822B9C1A739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33" i="1"/>
  <c r="C60" i="1"/>
  <c r="C59" i="1"/>
  <c r="C58" i="1"/>
  <c r="C57" i="1"/>
</calcChain>
</file>

<file path=xl/sharedStrings.xml><?xml version="1.0" encoding="utf-8"?>
<sst xmlns="http://schemas.openxmlformats.org/spreadsheetml/2006/main" count="189" uniqueCount="24">
  <si>
    <t>Jaar</t>
  </si>
  <si>
    <t>Maand</t>
  </si>
  <si>
    <t>Contracttype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</si>
  <si>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</si>
  <si>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</si>
  <si>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</si>
  <si>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</si>
  <si>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</si>
  <si>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</si>
  <si>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</si>
  <si>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</si>
  <si>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</si>
  <si>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</si>
  <si>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</si>
  <si>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</si>
  <si>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Gem_temp</t>
  </si>
  <si>
    <t>Betaalde Prijs_kWh</t>
  </si>
  <si>
    <t>Marktprijs_kWh</t>
  </si>
  <si>
    <t xml:space="preserve">Verhuisd </t>
  </si>
  <si>
    <t>flexibel energiecontract</t>
  </si>
  <si>
    <t>niet verhuisd</t>
  </si>
  <si>
    <t>verhuisd</t>
  </si>
  <si>
    <t>Energiekosten</t>
  </si>
  <si>
    <t>Verbruik_kWh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</si>
</sst>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€&quot;\ * #,##0.00_ ;_ &quot;€&quot;\ * \-#,##0.00_ ;_ &quot;€&quot;\ * &quot;-&quot;??_ ;_ @_ "/>
    <numFmt numFmtId="165" formatCode="[$-F800]dddd\,\ mmmm\ dd\,\ yyyy"/>
    <numFmt numFmtId="166" formatCode="_ [$€-413]\ * #,##0.00_ ;_ [$€-413]\ * \-#,##0.00_ ;_ [$€-413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F08C-0A12-4852-AE85-18ABD4828092}">
  <dimension ref="A1:I61"/>
  <sheetViews>
    <sheetView tabSelected="1" workbookViewId="0">
      <selection activeCell="C2" sqref="C2"/>
    </sheetView>
  </sheetViews>
  <sheetFormatPr defaultRowHeight="14.4" x14ac:dyDescent="0.3"/>
  <cols>
    <col min="1" max="1" width="5" bestFit="1" customWidth="1"/>
    <col min="2" max="2" width="10.21875" bestFit="1" customWidth="1"/>
    <col min="3" max="3" width="11.88671875" bestFit="1" customWidth="1"/>
    <col min="4" max="4" width="16.109375" bestFit="1" customWidth="1"/>
    <col min="5" max="5" width="16.109375" customWidth="1"/>
    <col min="6" max="6" width="15" bestFit="1" customWidth="1"/>
    <col min="7" max="7" width="19.109375" bestFit="1" customWidth="1"/>
    <col min="8" max="8" width="13.77734375" bestFit="1" customWidth="1"/>
    <col min="9" max="9" width="10.88671875" bestFit="1" customWidth="1"/>
  </cols>
  <sheetData>
    <row r="1" spans="1:9" ht="21" customHeight="1" x14ac:dyDescent="0.3">
      <c r="A1" s="1" t="s">
        <v>0</v>
      </c>
      <c r="B1" s="1" t="s">
        <v>1</v>
      </c>
      <c r="C1" s="1" t="s">
        <v>23</v>
      </c>
      <c r="D1" s="1" t="s">
        <v>16</v>
      </c>
      <c r="E1" s="1" t="s">
        <v>22</v>
      </c>
      <c r="F1" s="1" t="s">
        <v>17</v>
      </c>
      <c r="G1" s="1" t="s">
        <v>2</v>
      </c>
      <c r="H1" s="1" t="s">
        <v>18</v>
      </c>
      <c r="I1" s="1" t="s">
        <v>15</v>
      </c>
    </row>
    <row r="2" spans="1:9" x14ac:dyDescent="0.3">
      <c r="A2">
        <v>2020</v>
      </c>
      <c r="B2" s="2" t="s">
        <v>3</v>
      </c>
      <c r="C2">
        <v>0</v>
      </c>
      <c r="D2">
        <v>0</v>
      </c>
      <c r="E2">
        <v>0</v>
      </c>
      <c r="F2" s="3">
        <v>0.05</v>
      </c>
      <c r="G2" t="s">
        <v>19</v>
      </c>
      <c r="H2" t="s">
        <v>20</v>
      </c>
      <c r="I2">
        <v>6.2</v>
      </c>
    </row>
    <row r="3" spans="1:9" x14ac:dyDescent="0.3">
      <c r="A3">
        <v>2020</v>
      </c>
      <c r="B3" s="2" t="s">
        <v>4</v>
      </c>
      <c r="C3">
        <v>0</v>
      </c>
      <c r="D3">
        <v>0</v>
      </c>
      <c r="E3">
        <v>0</v>
      </c>
      <c r="F3" s="3">
        <v>0.04</v>
      </c>
      <c r="G3" t="s">
        <v>19</v>
      </c>
      <c r="H3" t="s">
        <v>20</v>
      </c>
      <c r="I3">
        <v>7.2</v>
      </c>
    </row>
    <row r="4" spans="1:9" x14ac:dyDescent="0.3">
      <c r="A4">
        <v>2020</v>
      </c>
      <c r="B4" s="2" t="s">
        <v>5</v>
      </c>
      <c r="C4">
        <v>0</v>
      </c>
      <c r="D4">
        <v>0</v>
      </c>
      <c r="E4">
        <v>0</v>
      </c>
      <c r="F4" s="3">
        <v>0.02</v>
      </c>
      <c r="G4" t="s">
        <v>19</v>
      </c>
      <c r="H4" t="s">
        <v>20</v>
      </c>
      <c r="I4">
        <v>6.8</v>
      </c>
    </row>
    <row r="5" spans="1:9" x14ac:dyDescent="0.3">
      <c r="A5">
        <v>2020</v>
      </c>
      <c r="B5" s="2" t="s">
        <v>6</v>
      </c>
      <c r="C5">
        <v>0</v>
      </c>
      <c r="D5">
        <v>0</v>
      </c>
      <c r="E5">
        <v>0</v>
      </c>
      <c r="F5" s="3">
        <v>0.02</v>
      </c>
      <c r="G5" t="s">
        <v>19</v>
      </c>
      <c r="H5" t="s">
        <v>20</v>
      </c>
      <c r="I5">
        <v>11.1</v>
      </c>
    </row>
    <row r="6" spans="1:9" x14ac:dyDescent="0.3">
      <c r="A6">
        <v>2020</v>
      </c>
      <c r="B6" s="2" t="s">
        <v>7</v>
      </c>
      <c r="C6">
        <v>0</v>
      </c>
      <c r="D6">
        <v>0</v>
      </c>
      <c r="E6">
        <v>0</v>
      </c>
      <c r="F6" s="3">
        <v>0.02</v>
      </c>
      <c r="G6" t="s">
        <v>19</v>
      </c>
      <c r="H6" t="s">
        <v>20</v>
      </c>
      <c r="I6">
        <v>13.1</v>
      </c>
    </row>
    <row r="7" spans="1:9" x14ac:dyDescent="0.3">
      <c r="A7">
        <v>2020</v>
      </c>
      <c r="B7" s="2" t="s">
        <v>8</v>
      </c>
      <c r="C7">
        <v>0</v>
      </c>
      <c r="D7">
        <v>0</v>
      </c>
      <c r="E7">
        <v>0</v>
      </c>
      <c r="F7" s="3">
        <v>0.04</v>
      </c>
      <c r="G7" t="s">
        <v>19</v>
      </c>
      <c r="H7" t="s">
        <v>20</v>
      </c>
      <c r="I7">
        <v>17.5</v>
      </c>
    </row>
    <row r="8" spans="1:9" x14ac:dyDescent="0.3">
      <c r="A8">
        <v>2020</v>
      </c>
      <c r="B8" s="2" t="s">
        <v>9</v>
      </c>
      <c r="C8">
        <v>0</v>
      </c>
      <c r="D8">
        <v>0</v>
      </c>
      <c r="E8">
        <v>0</v>
      </c>
      <c r="F8" s="3">
        <v>0.04</v>
      </c>
      <c r="G8" t="s">
        <v>19</v>
      </c>
      <c r="H8" t="s">
        <v>20</v>
      </c>
      <c r="I8">
        <v>17</v>
      </c>
    </row>
    <row r="9" spans="1:9" x14ac:dyDescent="0.3">
      <c r="A9">
        <v>2020</v>
      </c>
      <c r="B9" s="2" t="s">
        <v>10</v>
      </c>
      <c r="C9">
        <v>0</v>
      </c>
      <c r="D9">
        <v>0</v>
      </c>
      <c r="E9">
        <v>0</v>
      </c>
      <c r="F9" s="3">
        <v>0.04</v>
      </c>
      <c r="G9" t="s">
        <v>19</v>
      </c>
      <c r="H9" t="s">
        <v>20</v>
      </c>
      <c r="I9">
        <v>20.399999999999999</v>
      </c>
    </row>
    <row r="10" spans="1:9" x14ac:dyDescent="0.3">
      <c r="A10">
        <v>2020</v>
      </c>
      <c r="B10" s="2" t="s">
        <v>11</v>
      </c>
      <c r="C10">
        <v>0</v>
      </c>
      <c r="D10">
        <v>0</v>
      </c>
      <c r="E10">
        <v>0</v>
      </c>
      <c r="F10" s="3">
        <v>0.05</v>
      </c>
      <c r="G10" t="s">
        <v>19</v>
      </c>
      <c r="H10" t="s">
        <v>20</v>
      </c>
      <c r="I10">
        <v>15.2</v>
      </c>
    </row>
    <row r="11" spans="1:9" x14ac:dyDescent="0.3">
      <c r="A11">
        <v>2020</v>
      </c>
      <c r="B11" s="2" t="s">
        <v>12</v>
      </c>
      <c r="C11">
        <v>0</v>
      </c>
      <c r="D11">
        <v>0</v>
      </c>
      <c r="E11">
        <v>0</v>
      </c>
      <c r="F11" s="3">
        <v>0.05</v>
      </c>
      <c r="G11" t="s">
        <v>19</v>
      </c>
      <c r="H11" t="s">
        <v>20</v>
      </c>
      <c r="I11">
        <v>11.3</v>
      </c>
    </row>
    <row r="12" spans="1:9" x14ac:dyDescent="0.3">
      <c r="A12">
        <v>2020</v>
      </c>
      <c r="B12" s="2" t="s">
        <v>13</v>
      </c>
      <c r="C12">
        <v>0</v>
      </c>
      <c r="D12">
        <v>0</v>
      </c>
      <c r="E12">
        <v>0</v>
      </c>
      <c r="F12" s="3">
        <v>0.05</v>
      </c>
      <c r="G12" t="s">
        <v>19</v>
      </c>
      <c r="H12" t="s">
        <v>20</v>
      </c>
      <c r="I12">
        <v>8.9</v>
      </c>
    </row>
    <row r="13" spans="1:9" x14ac:dyDescent="0.3">
      <c r="A13">
        <v>2020</v>
      </c>
      <c r="B13" s="2" t="s">
        <v>14</v>
      </c>
      <c r="C13">
        <v>0</v>
      </c>
      <c r="D13">
        <v>0</v>
      </c>
      <c r="E13">
        <v>0</v>
      </c>
      <c r="F13" s="3">
        <v>0.06</v>
      </c>
      <c r="G13" t="s">
        <v>19</v>
      </c>
      <c r="H13" t="s">
        <v>20</v>
      </c>
      <c r="I13">
        <v>5.5</v>
      </c>
    </row>
    <row r="14" spans="1:9" x14ac:dyDescent="0.3">
      <c r="A14">
        <v>2021</v>
      </c>
      <c r="B14" s="2" t="s">
        <v>3</v>
      </c>
      <c r="C14">
        <v>0</v>
      </c>
      <c r="D14">
        <v>0</v>
      </c>
      <c r="E14">
        <v>0</v>
      </c>
      <c r="F14" s="3">
        <v>0.06</v>
      </c>
      <c r="G14" t="s">
        <v>19</v>
      </c>
      <c r="H14" t="s">
        <v>20</v>
      </c>
      <c r="I14">
        <v>3.4</v>
      </c>
    </row>
    <row r="15" spans="1:9" x14ac:dyDescent="0.3">
      <c r="A15">
        <v>2021</v>
      </c>
      <c r="B15" s="2" t="s">
        <v>4</v>
      </c>
      <c r="C15">
        <v>0</v>
      </c>
      <c r="D15">
        <v>0</v>
      </c>
      <c r="E15">
        <v>0</v>
      </c>
      <c r="F15" s="3">
        <v>0.06</v>
      </c>
      <c r="G15" t="s">
        <v>19</v>
      </c>
      <c r="H15" t="s">
        <v>20</v>
      </c>
      <c r="I15">
        <v>4.3</v>
      </c>
    </row>
    <row r="16" spans="1:9" x14ac:dyDescent="0.3">
      <c r="A16">
        <v>2021</v>
      </c>
      <c r="B16" s="2" t="s">
        <v>5</v>
      </c>
      <c r="C16">
        <v>0</v>
      </c>
      <c r="D16">
        <v>0</v>
      </c>
      <c r="E16">
        <v>0</v>
      </c>
      <c r="F16" s="3">
        <v>0.06</v>
      </c>
      <c r="G16" t="s">
        <v>19</v>
      </c>
      <c r="H16" t="s">
        <v>20</v>
      </c>
      <c r="I16">
        <v>6.4</v>
      </c>
    </row>
    <row r="17" spans="1:9" x14ac:dyDescent="0.3">
      <c r="A17">
        <v>2021</v>
      </c>
      <c r="B17" s="2" t="s">
        <v>6</v>
      </c>
      <c r="C17">
        <v>0</v>
      </c>
      <c r="D17">
        <v>0</v>
      </c>
      <c r="E17">
        <v>0</v>
      </c>
      <c r="F17" s="3">
        <v>0.06</v>
      </c>
      <c r="G17" t="s">
        <v>19</v>
      </c>
      <c r="H17" t="s">
        <v>20</v>
      </c>
      <c r="I17">
        <v>6.7</v>
      </c>
    </row>
    <row r="18" spans="1:9" x14ac:dyDescent="0.3">
      <c r="A18">
        <v>2021</v>
      </c>
      <c r="B18" s="2" t="s">
        <v>7</v>
      </c>
      <c r="C18">
        <v>0</v>
      </c>
      <c r="D18">
        <v>0</v>
      </c>
      <c r="E18">
        <v>0</v>
      </c>
      <c r="F18" s="3">
        <v>7.0000000000000007E-2</v>
      </c>
      <c r="G18" t="s">
        <v>19</v>
      </c>
      <c r="H18" t="s">
        <v>20</v>
      </c>
      <c r="I18">
        <v>11.2</v>
      </c>
    </row>
    <row r="19" spans="1:9" x14ac:dyDescent="0.3">
      <c r="A19">
        <v>2021</v>
      </c>
      <c r="B19" s="2" t="s">
        <v>8</v>
      </c>
      <c r="C19">
        <v>0</v>
      </c>
      <c r="D19">
        <v>0</v>
      </c>
      <c r="E19">
        <v>0</v>
      </c>
      <c r="F19" s="3">
        <v>0.1</v>
      </c>
      <c r="G19" t="s">
        <v>19</v>
      </c>
      <c r="H19" t="s">
        <v>20</v>
      </c>
      <c r="I19">
        <v>18.2</v>
      </c>
    </row>
    <row r="20" spans="1:9" x14ac:dyDescent="0.3">
      <c r="A20">
        <v>2021</v>
      </c>
      <c r="B20" s="2" t="s">
        <v>9</v>
      </c>
      <c r="C20">
        <v>0</v>
      </c>
      <c r="D20">
        <v>0</v>
      </c>
      <c r="E20">
        <v>0</v>
      </c>
      <c r="F20" s="3">
        <v>0.1</v>
      </c>
      <c r="G20" t="s">
        <v>19</v>
      </c>
      <c r="H20" t="s">
        <v>20</v>
      </c>
      <c r="I20">
        <v>18</v>
      </c>
    </row>
    <row r="21" spans="1:9" x14ac:dyDescent="0.3">
      <c r="A21">
        <v>2021</v>
      </c>
      <c r="B21" s="2" t="s">
        <v>10</v>
      </c>
      <c r="C21">
        <v>0</v>
      </c>
      <c r="D21">
        <v>0</v>
      </c>
      <c r="E21">
        <v>0</v>
      </c>
      <c r="F21" s="3">
        <v>0.11</v>
      </c>
      <c r="G21" t="s">
        <v>19</v>
      </c>
      <c r="H21" t="s">
        <v>20</v>
      </c>
      <c r="I21">
        <v>16.899999999999999</v>
      </c>
    </row>
    <row r="22" spans="1:9" x14ac:dyDescent="0.3">
      <c r="A22">
        <v>2021</v>
      </c>
      <c r="B22" s="2" t="s">
        <v>11</v>
      </c>
      <c r="C22">
        <v>0</v>
      </c>
      <c r="D22">
        <v>0</v>
      </c>
      <c r="E22">
        <v>0</v>
      </c>
      <c r="F22" s="3">
        <v>0.17</v>
      </c>
      <c r="G22" t="s">
        <v>19</v>
      </c>
      <c r="H22" t="s">
        <v>20</v>
      </c>
      <c r="I22">
        <v>15.9</v>
      </c>
    </row>
    <row r="23" spans="1:9" x14ac:dyDescent="0.3">
      <c r="A23">
        <v>2021</v>
      </c>
      <c r="B23" s="2" t="s">
        <v>12</v>
      </c>
      <c r="C23">
        <v>0</v>
      </c>
      <c r="D23">
        <v>0</v>
      </c>
      <c r="E23">
        <v>0</v>
      </c>
      <c r="F23" s="3">
        <v>0.19</v>
      </c>
      <c r="G23" t="s">
        <v>19</v>
      </c>
      <c r="H23" t="s">
        <v>20</v>
      </c>
      <c r="I23">
        <v>11.6</v>
      </c>
    </row>
    <row r="24" spans="1:9" x14ac:dyDescent="0.3">
      <c r="A24">
        <v>2021</v>
      </c>
      <c r="B24" s="2" t="s">
        <v>13</v>
      </c>
      <c r="C24">
        <v>0</v>
      </c>
      <c r="D24">
        <v>0</v>
      </c>
      <c r="E24">
        <v>0</v>
      </c>
      <c r="F24" s="3">
        <v>0.23</v>
      </c>
      <c r="G24" t="s">
        <v>19</v>
      </c>
      <c r="H24" t="s">
        <v>20</v>
      </c>
      <c r="I24">
        <v>7.4</v>
      </c>
    </row>
    <row r="25" spans="1:9" x14ac:dyDescent="0.3">
      <c r="A25">
        <v>2021</v>
      </c>
      <c r="B25" s="2" t="s">
        <v>14</v>
      </c>
      <c r="C25">
        <v>0</v>
      </c>
      <c r="D25">
        <v>0</v>
      </c>
      <c r="E25">
        <v>0</v>
      </c>
      <c r="F25" s="3">
        <v>0.28999999999999998</v>
      </c>
      <c r="G25" t="s">
        <v>19</v>
      </c>
      <c r="H25" t="s">
        <v>20</v>
      </c>
      <c r="I25">
        <v>5.4</v>
      </c>
    </row>
    <row r="26" spans="1:9" x14ac:dyDescent="0.3">
      <c r="A26">
        <v>2022</v>
      </c>
      <c r="B26" s="2" t="s">
        <v>3</v>
      </c>
      <c r="C26">
        <v>0</v>
      </c>
      <c r="D26">
        <v>0</v>
      </c>
      <c r="E26">
        <v>0</v>
      </c>
      <c r="F26" s="3">
        <v>0.23</v>
      </c>
      <c r="G26" t="s">
        <v>19</v>
      </c>
      <c r="H26" t="s">
        <v>20</v>
      </c>
      <c r="I26">
        <v>5.3</v>
      </c>
    </row>
    <row r="27" spans="1:9" x14ac:dyDescent="0.3">
      <c r="A27">
        <v>2022</v>
      </c>
      <c r="B27" s="2" t="s">
        <v>4</v>
      </c>
      <c r="C27">
        <v>0</v>
      </c>
      <c r="D27">
        <v>0</v>
      </c>
      <c r="E27">
        <v>0</v>
      </c>
      <c r="F27" s="3">
        <v>0.21</v>
      </c>
      <c r="G27" t="s">
        <v>19</v>
      </c>
      <c r="H27" t="s">
        <v>20</v>
      </c>
      <c r="I27">
        <v>3.9</v>
      </c>
    </row>
    <row r="28" spans="1:9" x14ac:dyDescent="0.3">
      <c r="A28">
        <v>2022</v>
      </c>
      <c r="B28" s="2" t="s">
        <v>5</v>
      </c>
      <c r="C28">
        <v>0</v>
      </c>
      <c r="D28">
        <v>0</v>
      </c>
      <c r="E28">
        <v>0</v>
      </c>
      <c r="F28" s="3">
        <v>0.31</v>
      </c>
      <c r="G28" t="s">
        <v>19</v>
      </c>
      <c r="H28" t="s">
        <v>20</v>
      </c>
      <c r="I28">
        <v>7.3</v>
      </c>
    </row>
    <row r="29" spans="1:9" x14ac:dyDescent="0.3">
      <c r="A29">
        <v>2022</v>
      </c>
      <c r="B29" s="2" t="s">
        <v>6</v>
      </c>
      <c r="C29">
        <v>0</v>
      </c>
      <c r="D29">
        <v>0</v>
      </c>
      <c r="E29">
        <v>0</v>
      </c>
      <c r="F29" s="3">
        <v>0.24</v>
      </c>
      <c r="G29" t="s">
        <v>19</v>
      </c>
      <c r="H29" t="s">
        <v>20</v>
      </c>
      <c r="I29">
        <v>9.3000000000000007</v>
      </c>
    </row>
    <row r="30" spans="1:9" x14ac:dyDescent="0.3">
      <c r="A30">
        <v>2022</v>
      </c>
      <c r="B30" s="2" t="s">
        <v>7</v>
      </c>
      <c r="C30">
        <v>0</v>
      </c>
      <c r="D30">
        <v>0</v>
      </c>
      <c r="E30">
        <v>0</v>
      </c>
      <c r="F30" s="3">
        <v>0.22</v>
      </c>
      <c r="G30" t="s">
        <v>19</v>
      </c>
      <c r="H30" t="s">
        <v>20</v>
      </c>
      <c r="I30">
        <v>14</v>
      </c>
    </row>
    <row r="31" spans="1:9" x14ac:dyDescent="0.3">
      <c r="A31">
        <v>2022</v>
      </c>
      <c r="B31" s="2" t="s">
        <v>8</v>
      </c>
      <c r="C31">
        <v>0</v>
      </c>
      <c r="D31">
        <v>0</v>
      </c>
      <c r="E31">
        <v>0</v>
      </c>
      <c r="F31" s="3">
        <v>0.25</v>
      </c>
      <c r="G31" t="s">
        <v>19</v>
      </c>
      <c r="H31" t="s">
        <v>20</v>
      </c>
      <c r="I31">
        <v>17.100000000000001</v>
      </c>
    </row>
    <row r="32" spans="1:9" x14ac:dyDescent="0.3">
      <c r="A32">
        <v>2022</v>
      </c>
      <c r="B32" s="2" t="s">
        <v>9</v>
      </c>
      <c r="C32">
        <v>0</v>
      </c>
      <c r="D32">
        <v>0</v>
      </c>
      <c r="E32">
        <v>0</v>
      </c>
      <c r="F32" s="3">
        <v>0.34</v>
      </c>
      <c r="G32" t="s">
        <v>19</v>
      </c>
      <c r="H32" t="s">
        <v>20</v>
      </c>
      <c r="I32">
        <v>18.600000000000001</v>
      </c>
    </row>
    <row r="33" spans="1:9" x14ac:dyDescent="0.3">
      <c r="A33">
        <v>2022</v>
      </c>
      <c r="B33" s="2" t="s">
        <v>10</v>
      </c>
      <c r="C33" s="4">
        <v>918</v>
      </c>
      <c r="D33" s="5">
        <v>0.10347000000000001</v>
      </c>
      <c r="E33" s="5">
        <f>C33*D33</f>
        <v>94.985460000000003</v>
      </c>
      <c r="F33" s="3">
        <v>0.49</v>
      </c>
      <c r="G33" t="s">
        <v>19</v>
      </c>
      <c r="H33" t="s">
        <v>20</v>
      </c>
      <c r="I33">
        <v>20</v>
      </c>
    </row>
    <row r="34" spans="1:9" x14ac:dyDescent="0.3">
      <c r="A34">
        <v>2022</v>
      </c>
      <c r="B34" s="2" t="s">
        <v>11</v>
      </c>
      <c r="C34" s="4">
        <v>941</v>
      </c>
      <c r="D34" s="5">
        <v>0.10347000000000001</v>
      </c>
      <c r="E34" s="5">
        <f t="shared" ref="E34:E61" si="0">C34*D34</f>
        <v>97.36527000000001</v>
      </c>
      <c r="F34" s="3">
        <v>0.37</v>
      </c>
      <c r="G34" t="s">
        <v>19</v>
      </c>
      <c r="H34" t="s">
        <v>20</v>
      </c>
      <c r="I34">
        <v>14.6</v>
      </c>
    </row>
    <row r="35" spans="1:9" x14ac:dyDescent="0.3">
      <c r="A35">
        <v>2022</v>
      </c>
      <c r="B35" s="2" t="s">
        <v>12</v>
      </c>
      <c r="C35" s="4">
        <v>839</v>
      </c>
      <c r="D35" s="5">
        <v>0.10347000000000001</v>
      </c>
      <c r="E35" s="5">
        <f t="shared" si="0"/>
        <v>86.811330000000012</v>
      </c>
      <c r="F35" s="3">
        <v>0.17</v>
      </c>
      <c r="G35" t="s">
        <v>19</v>
      </c>
      <c r="H35" t="s">
        <v>20</v>
      </c>
      <c r="I35">
        <v>13.1</v>
      </c>
    </row>
    <row r="36" spans="1:9" x14ac:dyDescent="0.3">
      <c r="A36">
        <v>2022</v>
      </c>
      <c r="B36" s="2" t="s">
        <v>13</v>
      </c>
      <c r="C36" s="4">
        <v>884</v>
      </c>
      <c r="D36" s="5">
        <v>0.10347000000000001</v>
      </c>
      <c r="E36" s="5">
        <f t="shared" si="0"/>
        <v>91.467480000000009</v>
      </c>
      <c r="F36" s="3">
        <v>0.2</v>
      </c>
      <c r="G36" t="s">
        <v>19</v>
      </c>
      <c r="H36" t="s">
        <v>20</v>
      </c>
      <c r="I36">
        <v>8.6</v>
      </c>
    </row>
    <row r="37" spans="1:9" x14ac:dyDescent="0.3">
      <c r="A37">
        <v>2022</v>
      </c>
      <c r="B37" s="2" t="s">
        <v>14</v>
      </c>
      <c r="C37" s="4">
        <v>979</v>
      </c>
      <c r="D37" s="5">
        <v>0.12177</v>
      </c>
      <c r="E37" s="5">
        <f t="shared" si="0"/>
        <v>119.21283</v>
      </c>
      <c r="F37" s="3">
        <v>0.28000000000000003</v>
      </c>
      <c r="G37" t="s">
        <v>19</v>
      </c>
      <c r="H37" t="s">
        <v>20</v>
      </c>
      <c r="I37">
        <v>3.9</v>
      </c>
    </row>
    <row r="38" spans="1:9" x14ac:dyDescent="0.3">
      <c r="A38">
        <v>2023</v>
      </c>
      <c r="B38" s="2" t="s">
        <v>3</v>
      </c>
      <c r="C38" s="4">
        <v>1073.5440000000001</v>
      </c>
      <c r="D38" s="5">
        <v>0.12177</v>
      </c>
      <c r="E38" s="5">
        <f t="shared" si="0"/>
        <v>130.72545288000001</v>
      </c>
      <c r="F38" s="3">
        <v>0.16</v>
      </c>
      <c r="G38" t="s">
        <v>19</v>
      </c>
      <c r="H38" t="s">
        <v>20</v>
      </c>
      <c r="I38">
        <v>5.8</v>
      </c>
    </row>
    <row r="39" spans="1:9" x14ac:dyDescent="0.3">
      <c r="A39">
        <v>2023</v>
      </c>
      <c r="B39" s="2" t="s">
        <v>4</v>
      </c>
      <c r="C39" s="4">
        <v>943.62099999999998</v>
      </c>
      <c r="D39" s="5">
        <v>0.12177</v>
      </c>
      <c r="E39" s="5">
        <f t="shared" si="0"/>
        <v>114.90472917</v>
      </c>
      <c r="F39" s="3">
        <v>0.16</v>
      </c>
      <c r="G39" t="s">
        <v>19</v>
      </c>
      <c r="H39" t="s">
        <v>20</v>
      </c>
      <c r="I39">
        <v>5.7</v>
      </c>
    </row>
    <row r="40" spans="1:9" x14ac:dyDescent="0.3">
      <c r="A40">
        <v>2023</v>
      </c>
      <c r="B40" s="2" t="s">
        <v>5</v>
      </c>
      <c r="C40" s="4">
        <v>1019.2670000000001</v>
      </c>
      <c r="D40" s="5">
        <v>0.12177</v>
      </c>
      <c r="E40" s="5">
        <f t="shared" si="0"/>
        <v>124.11614259000001</v>
      </c>
      <c r="F40" s="3">
        <v>0.12</v>
      </c>
      <c r="G40" t="s">
        <v>19</v>
      </c>
      <c r="H40" t="s">
        <v>20</v>
      </c>
      <c r="I40">
        <v>7</v>
      </c>
    </row>
    <row r="41" spans="1:9" x14ac:dyDescent="0.3">
      <c r="A41">
        <v>2023</v>
      </c>
      <c r="B41" s="2" t="s">
        <v>6</v>
      </c>
      <c r="C41" s="4">
        <v>932.56700000000001</v>
      </c>
      <c r="D41" s="5">
        <v>0.12177</v>
      </c>
      <c r="E41" s="5">
        <f t="shared" si="0"/>
        <v>113.55868359</v>
      </c>
      <c r="F41" s="3">
        <v>0.12</v>
      </c>
      <c r="G41" t="s">
        <v>19</v>
      </c>
      <c r="H41" t="s">
        <v>20</v>
      </c>
      <c r="I41">
        <v>8.6999999999999993</v>
      </c>
    </row>
    <row r="42" spans="1:9" x14ac:dyDescent="0.3">
      <c r="A42">
        <v>2023</v>
      </c>
      <c r="B42" s="2" t="s">
        <v>7</v>
      </c>
      <c r="C42" s="4">
        <v>730</v>
      </c>
      <c r="D42" s="5">
        <v>0.12177</v>
      </c>
      <c r="E42" s="5">
        <f t="shared" si="0"/>
        <v>88.892099999999999</v>
      </c>
      <c r="F42" s="3">
        <v>0.1</v>
      </c>
      <c r="G42" t="s">
        <v>19</v>
      </c>
      <c r="H42" t="s">
        <v>20</v>
      </c>
      <c r="I42">
        <v>13.5</v>
      </c>
    </row>
    <row r="43" spans="1:9" x14ac:dyDescent="0.3">
      <c r="A43">
        <v>2023</v>
      </c>
      <c r="B43" s="2" t="s">
        <v>8</v>
      </c>
      <c r="C43" s="4">
        <v>1228</v>
      </c>
      <c r="D43" s="5">
        <v>0.12177</v>
      </c>
      <c r="E43" s="5">
        <f t="shared" si="0"/>
        <v>149.53355999999999</v>
      </c>
      <c r="F43" s="3">
        <v>0.11</v>
      </c>
      <c r="G43" t="s">
        <v>19</v>
      </c>
      <c r="H43" t="s">
        <v>20</v>
      </c>
      <c r="I43">
        <v>19.399999999999999</v>
      </c>
    </row>
    <row r="44" spans="1:9" x14ac:dyDescent="0.3">
      <c r="A44">
        <v>2023</v>
      </c>
      <c r="B44" s="2" t="s">
        <v>9</v>
      </c>
      <c r="C44" s="4">
        <v>816</v>
      </c>
      <c r="D44" s="5">
        <v>0.12177</v>
      </c>
      <c r="E44" s="5">
        <f t="shared" si="0"/>
        <v>99.364320000000006</v>
      </c>
      <c r="F44" s="3">
        <v>0.08</v>
      </c>
      <c r="G44" t="s">
        <v>19</v>
      </c>
      <c r="H44" t="s">
        <v>20</v>
      </c>
      <c r="I44">
        <v>18.100000000000001</v>
      </c>
    </row>
    <row r="45" spans="1:9" x14ac:dyDescent="0.3">
      <c r="A45">
        <v>2023</v>
      </c>
      <c r="B45" s="2" t="s">
        <v>10</v>
      </c>
      <c r="C45" s="4">
        <v>745</v>
      </c>
      <c r="D45" s="5">
        <v>0.12177</v>
      </c>
      <c r="E45" s="5">
        <f t="shared" si="0"/>
        <v>90.718649999999997</v>
      </c>
      <c r="F45" s="3">
        <v>0.11</v>
      </c>
      <c r="G45" t="s">
        <v>19</v>
      </c>
      <c r="H45" t="s">
        <v>20</v>
      </c>
      <c r="I45">
        <v>17.600000000000001</v>
      </c>
    </row>
    <row r="46" spans="1:9" x14ac:dyDescent="0.3">
      <c r="A46">
        <v>2023</v>
      </c>
      <c r="B46" s="2" t="s">
        <v>11</v>
      </c>
      <c r="C46" s="4">
        <v>1014</v>
      </c>
      <c r="D46" s="5">
        <v>0.12177</v>
      </c>
      <c r="E46" s="5">
        <f t="shared" si="0"/>
        <v>123.47478000000001</v>
      </c>
      <c r="F46" s="3">
        <v>0.12</v>
      </c>
      <c r="G46" t="s">
        <v>19</v>
      </c>
      <c r="H46" t="s">
        <v>20</v>
      </c>
      <c r="I46">
        <v>17.5</v>
      </c>
    </row>
    <row r="47" spans="1:9" x14ac:dyDescent="0.3">
      <c r="A47">
        <v>2023</v>
      </c>
      <c r="B47" s="2" t="s">
        <v>12</v>
      </c>
      <c r="C47" s="4">
        <v>1046</v>
      </c>
      <c r="D47" s="5">
        <v>0.12177</v>
      </c>
      <c r="E47" s="5">
        <f t="shared" si="0"/>
        <v>127.37142</v>
      </c>
      <c r="F47" s="3">
        <v>0.11</v>
      </c>
      <c r="G47" t="s">
        <v>19</v>
      </c>
      <c r="H47" t="s">
        <v>20</v>
      </c>
      <c r="I47">
        <v>13.2</v>
      </c>
    </row>
    <row r="48" spans="1:9" x14ac:dyDescent="0.3">
      <c r="A48">
        <v>2023</v>
      </c>
      <c r="B48" s="2" t="s">
        <v>13</v>
      </c>
      <c r="C48" s="4">
        <v>1086</v>
      </c>
      <c r="D48" s="5">
        <v>0.12177</v>
      </c>
      <c r="E48" s="5">
        <f t="shared" si="0"/>
        <v>132.24222</v>
      </c>
      <c r="F48" s="3">
        <v>0.11</v>
      </c>
      <c r="G48" t="s">
        <v>19</v>
      </c>
      <c r="H48" t="s">
        <v>20</v>
      </c>
      <c r="I48">
        <v>7.8</v>
      </c>
    </row>
    <row r="49" spans="1:9" x14ac:dyDescent="0.3">
      <c r="A49">
        <v>2023</v>
      </c>
      <c r="B49" s="2" t="s">
        <v>14</v>
      </c>
      <c r="C49" s="4">
        <v>1028</v>
      </c>
      <c r="D49" s="5">
        <v>0.12177</v>
      </c>
      <c r="E49" s="5">
        <f t="shared" si="0"/>
        <v>125.17956000000001</v>
      </c>
      <c r="F49" s="3">
        <v>0.08</v>
      </c>
      <c r="G49" t="s">
        <v>19</v>
      </c>
      <c r="H49" t="s">
        <v>20</v>
      </c>
      <c r="I49">
        <v>6.9</v>
      </c>
    </row>
    <row r="50" spans="1:9" x14ac:dyDescent="0.3">
      <c r="A50">
        <v>2024</v>
      </c>
      <c r="B50" s="2" t="s">
        <v>3</v>
      </c>
      <c r="C50" s="4">
        <v>1388</v>
      </c>
      <c r="D50" s="5">
        <v>0.12177</v>
      </c>
      <c r="E50" s="5">
        <f t="shared" si="0"/>
        <v>169.01676</v>
      </c>
      <c r="F50" s="3">
        <v>0.1</v>
      </c>
      <c r="G50" t="s">
        <v>19</v>
      </c>
      <c r="H50" t="s">
        <v>20</v>
      </c>
      <c r="I50">
        <v>3.9</v>
      </c>
    </row>
    <row r="51" spans="1:9" x14ac:dyDescent="0.3">
      <c r="A51">
        <v>2024</v>
      </c>
      <c r="B51" s="2" t="s">
        <v>4</v>
      </c>
      <c r="C51" s="4">
        <v>1000</v>
      </c>
      <c r="D51" s="5">
        <v>0.12177</v>
      </c>
      <c r="E51" s="5">
        <f t="shared" si="0"/>
        <v>121.77000000000001</v>
      </c>
      <c r="F51" s="3">
        <v>7.0000000000000007E-2</v>
      </c>
      <c r="G51" t="s">
        <v>19</v>
      </c>
      <c r="H51" t="s">
        <v>20</v>
      </c>
      <c r="I51">
        <v>8.1999999999999993</v>
      </c>
    </row>
    <row r="52" spans="1:9" x14ac:dyDescent="0.3">
      <c r="A52">
        <v>2024</v>
      </c>
      <c r="B52" s="2" t="s">
        <v>5</v>
      </c>
      <c r="C52" s="4">
        <v>984</v>
      </c>
      <c r="D52" s="5">
        <v>0.12177</v>
      </c>
      <c r="E52" s="5">
        <f t="shared" si="0"/>
        <v>119.82168</v>
      </c>
      <c r="F52" s="3">
        <v>7.0000000000000007E-2</v>
      </c>
      <c r="G52" t="s">
        <v>19</v>
      </c>
      <c r="H52" t="s">
        <v>20</v>
      </c>
      <c r="I52">
        <v>9</v>
      </c>
    </row>
    <row r="53" spans="1:9" x14ac:dyDescent="0.3">
      <c r="A53">
        <v>2024</v>
      </c>
      <c r="B53" s="2" t="s">
        <v>6</v>
      </c>
      <c r="C53" s="4">
        <v>950</v>
      </c>
      <c r="D53" s="5">
        <v>0.12177</v>
      </c>
      <c r="E53" s="5">
        <f t="shared" si="0"/>
        <v>115.6815</v>
      </c>
      <c r="F53" s="3">
        <v>7.0000000000000007E-2</v>
      </c>
      <c r="G53" t="s">
        <v>19</v>
      </c>
      <c r="H53" t="s">
        <v>20</v>
      </c>
      <c r="I53">
        <v>10.8</v>
      </c>
    </row>
    <row r="54" spans="1:9" x14ac:dyDescent="0.3">
      <c r="A54">
        <v>2024</v>
      </c>
      <c r="B54" s="2" t="s">
        <v>7</v>
      </c>
      <c r="C54" s="4">
        <v>967</v>
      </c>
      <c r="D54" s="5">
        <v>0.12177</v>
      </c>
      <c r="E54" s="5">
        <f t="shared" si="0"/>
        <v>117.75159000000001</v>
      </c>
      <c r="F54" s="3">
        <v>0.08</v>
      </c>
      <c r="G54" t="s">
        <v>19</v>
      </c>
      <c r="H54" t="s">
        <v>20</v>
      </c>
      <c r="I54">
        <v>15.5</v>
      </c>
    </row>
    <row r="55" spans="1:9" x14ac:dyDescent="0.3">
      <c r="A55">
        <v>2024</v>
      </c>
      <c r="B55" s="2" t="s">
        <v>8</v>
      </c>
      <c r="C55" s="4">
        <v>1069</v>
      </c>
      <c r="D55" s="5">
        <v>0.12177</v>
      </c>
      <c r="E55" s="5">
        <f t="shared" si="0"/>
        <v>130.17213000000001</v>
      </c>
      <c r="F55" s="3">
        <v>0.08</v>
      </c>
      <c r="G55" t="s">
        <v>19</v>
      </c>
      <c r="H55" t="s">
        <v>20</v>
      </c>
      <c r="I55">
        <v>15.8</v>
      </c>
    </row>
    <row r="56" spans="1:9" x14ac:dyDescent="0.3">
      <c r="A56">
        <v>2024</v>
      </c>
      <c r="B56" s="2" t="s">
        <v>9</v>
      </c>
      <c r="C56" s="4">
        <v>1264</v>
      </c>
      <c r="D56" s="5">
        <v>0.12177</v>
      </c>
      <c r="E56" s="5">
        <f t="shared" si="0"/>
        <v>153.91728000000001</v>
      </c>
      <c r="F56" s="3">
        <v>0.08</v>
      </c>
      <c r="G56" t="s">
        <v>19</v>
      </c>
      <c r="H56" t="s">
        <v>21</v>
      </c>
      <c r="I56">
        <v>18.100000000000001</v>
      </c>
    </row>
    <row r="57" spans="1:9" x14ac:dyDescent="0.3">
      <c r="A57">
        <v>2024</v>
      </c>
      <c r="B57" s="2" t="s">
        <v>10</v>
      </c>
      <c r="C57" s="4">
        <f>799+95</f>
        <v>894</v>
      </c>
      <c r="D57" s="5">
        <v>0.12177</v>
      </c>
      <c r="E57" s="5">
        <f t="shared" si="0"/>
        <v>108.86238</v>
      </c>
      <c r="F57" s="3">
        <v>0.1</v>
      </c>
      <c r="G57" t="s">
        <v>19</v>
      </c>
      <c r="H57" t="s">
        <v>21</v>
      </c>
      <c r="I57">
        <v>19.3</v>
      </c>
    </row>
    <row r="58" spans="1:9" x14ac:dyDescent="0.3">
      <c r="A58">
        <v>2024</v>
      </c>
      <c r="B58" s="2" t="s">
        <v>11</v>
      </c>
      <c r="C58" s="4">
        <f>1095+134</f>
        <v>1229</v>
      </c>
      <c r="D58" s="5">
        <v>0.12177</v>
      </c>
      <c r="E58" s="5">
        <f t="shared" si="0"/>
        <v>149.65532999999999</v>
      </c>
      <c r="F58" s="3">
        <v>0.1</v>
      </c>
      <c r="G58" t="s">
        <v>19</v>
      </c>
      <c r="H58" t="s">
        <v>21</v>
      </c>
      <c r="I58">
        <v>15.8</v>
      </c>
    </row>
    <row r="59" spans="1:9" x14ac:dyDescent="0.3">
      <c r="A59">
        <v>2024</v>
      </c>
      <c r="B59" s="2" t="s">
        <v>12</v>
      </c>
      <c r="C59" s="4">
        <f>866+1480</f>
        <v>2346</v>
      </c>
      <c r="D59" s="5">
        <v>0.12177</v>
      </c>
      <c r="E59" s="5">
        <f t="shared" si="0"/>
        <v>285.67241999999999</v>
      </c>
      <c r="F59" s="3">
        <v>0.11</v>
      </c>
      <c r="G59" t="s">
        <v>19</v>
      </c>
      <c r="H59" t="s">
        <v>21</v>
      </c>
      <c r="I59">
        <v>12.1</v>
      </c>
    </row>
    <row r="60" spans="1:9" x14ac:dyDescent="0.3">
      <c r="A60">
        <v>2024</v>
      </c>
      <c r="B60" s="2" t="s">
        <v>13</v>
      </c>
      <c r="C60" s="4">
        <f>966+951</f>
        <v>1917</v>
      </c>
      <c r="D60" s="5">
        <v>0.12177</v>
      </c>
      <c r="E60" s="5">
        <f t="shared" si="0"/>
        <v>233.43308999999999</v>
      </c>
      <c r="F60" s="3">
        <v>0.13</v>
      </c>
      <c r="G60" t="s">
        <v>19</v>
      </c>
      <c r="H60" t="s">
        <v>21</v>
      </c>
      <c r="I60">
        <v>6.9</v>
      </c>
    </row>
    <row r="61" spans="1:9" x14ac:dyDescent="0.3">
      <c r="A61">
        <v>2024</v>
      </c>
      <c r="B61" s="2" t="s">
        <v>14</v>
      </c>
      <c r="C61">
        <v>1295</v>
      </c>
      <c r="D61" s="5">
        <v>0.12177</v>
      </c>
      <c r="E61" s="5">
        <f t="shared" si="0"/>
        <v>157.69215</v>
      </c>
      <c r="F61" s="3">
        <v>0.13</v>
      </c>
      <c r="G61" t="s">
        <v>19</v>
      </c>
      <c r="H61" t="s">
        <v>21</v>
      </c>
      <c r="I61">
        <v>6.1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D66587214CA4AA1FEB504989B5A76" ma:contentTypeVersion="7" ma:contentTypeDescription="Een nieuw document maken." ma:contentTypeScope="" ma:versionID="edc57994e9116d05220cf1ffcba4617c">
  <xsd:schema xmlns:xsd="http://www.w3.org/2001/XMLSchema" xmlns:xs="http://www.w3.org/2001/XMLSchema" xmlns:p="http://schemas.microsoft.com/office/2006/metadata/properties" xmlns:ns2="e527c3b0-fb9b-42bf-9fa8-c4f38b5ef3e5" targetNamespace="http://schemas.microsoft.com/office/2006/metadata/properties" ma:root="true" ma:fieldsID="6609a8415d814eebedd5582fc8bede9b" ns2:_="">
    <xsd:import namespace="e527c3b0-fb9b-42bf-9fa8-c4f38b5ef3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7c3b0-fb9b-42bf-9fa8-c4f38b5ef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591A40-A212-4938-AC3B-7F87F1122115}">
  <ds:schemaRefs>
    <ds:schemaRef ds:uri="http://purl.org/dc/elements/1.1/"/>
    <ds:schemaRef ds:uri="e527c3b0-fb9b-42bf-9fa8-c4f38b5ef3e5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C18FD4A-19D8-4C20-9E34-B03E54643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7c3b0-fb9b-42bf-9fa8-c4f38b5ef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0891A3-05F0-4C08-BBE7-A197B6D16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Roon, Wessel de</dc:creator>
  <cp:lastModifiedBy>Heuvel, Chris van den</cp:lastModifiedBy>
  <dcterms:created xsi:type="dcterms:W3CDTF">2025-04-16T10:41:33Z</dcterms:created>
  <dcterms:modified xsi:type="dcterms:W3CDTF">2025-05-22T12:57:43Z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0x010100877D66587214CA4AA1FEB504989B5A76</vt:lpwstr>
  </property>
</Properties>
</file>