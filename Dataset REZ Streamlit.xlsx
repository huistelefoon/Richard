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lan\Downloads\"/>
    </mc:Choice>
  </mc:AlternateContent>
  <xr:revisionPtr revIDLastSave="0" documentId="8_{D364FDA5-7C02-491E-88C4-1D7C42705E88}" xr6:coauthVersionLast="47" xr6:coauthVersionMax="47" xr10:uidLastSave="{00000000-0000-0000-0000-000000000000}"/>
  <bookViews>
    <workbookView xWindow="-108" yWindow="-108" windowWidth="23256" windowHeight="12456" xr2:uid="{750014F0-D85B-41F6-8D9A-508755359A5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C29" i="1"/>
  <c r="E29" i="1" s="1"/>
  <c r="C28" i="1"/>
  <c r="E28" i="1" s="1"/>
  <c r="C27" i="1"/>
  <c r="E27" i="1" s="1"/>
  <c r="C26" i="1"/>
  <c r="E26" i="1" s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<sst xmlns="http://schemas.openxmlformats.org/spreadsheetml/2006/main" count="48" uniqueCount="23">
  <si>
    <t>Jaar</t>
  </si>
  <si>
    <t xml:space="preserve">Verbruik_kWh </t>
  </si>
  <si>
    <t>Betaalde Prijs_kWh</t>
  </si>
  <si>
    <t>Energiekosten</t>
  </si>
  <si>
    <t>Marktprijs_kWh</t>
  </si>
  <si>
    <t>Gem_temp</t>
  </si>
  <si>
    <t>Vakantieperiode</t>
  </si>
  <si>
    <t>Maand</t>
  </si>
  <si>
    <t>8</t>
  </si>
  <si>
    <t>1</t>
  </si>
  <si>
    <t>9</t>
  </si>
  <si>
    <t>4</t>
  </si>
  <si>
    <t>6</t>
  </si>
  <si>
    <t>5</t>
  </si>
  <si>
    <t>7</t>
  </si>
  <si>
    <t>10</t>
  </si>
  <si>
    <t>11</t>
  </si>
  <si>
    <t>12</t>
  </si>
  <si>
    <t>2</t>
  </si>
  <si>
    <t>3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</si>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</sst>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€&quot;\ * #,##0.00_ ;_ &quot;€&quot;\ * \-#,##0.00_ ;_ &quot;€&quot;\ * &quot;-&quot;??_ ;_ @_ "/>
    <numFmt numFmtId="165" formatCode="_ [$€-413]\ * #,##0.00_ ;_ [$€-413]\ * \-#,##0.00_ ;_ [$€-413]\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" fontId="2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30A0-D6AB-414F-88A7-2A3EEC82AFB7}">
  <dimension ref="A1:H30"/>
  <sheetViews>
    <sheetView tabSelected="1" workbookViewId="0">
      <selection activeCell="C10" sqref="C10"/>
    </sheetView>
  </sheetViews>
  <sheetFormatPr defaultRowHeight="14.4" x14ac:dyDescent="0.3"/>
  <cols>
    <col min="1" max="1" width="14.21875" bestFit="1" customWidth="1"/>
    <col min="2" max="2" width="14.21875" customWidth="1"/>
    <col min="3" max="3" width="9" bestFit="1" customWidth="1"/>
    <col min="4" max="4" width="8.44140625" bestFit="1" customWidth="1"/>
    <col min="5" max="5" width="8.5546875" bestFit="1" customWidth="1"/>
    <col min="6" max="6" width="8.6640625" bestFit="1" customWidth="1"/>
  </cols>
  <sheetData>
    <row r="1" spans="1:8" ht="43.2" x14ac:dyDescent="0.3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 t="s">
        <v>20</v>
      </c>
      <c r="B2" s="2" t="s">
        <v>8</v>
      </c>
      <c r="C2" s="3">
        <v>918</v>
      </c>
      <c r="D2" s="4">
        <v>0.10347000000000001</v>
      </c>
      <c r="E2" s="4">
        <f>C2*D2</f>
        <v>94.985460000000003</v>
      </c>
      <c r="F2" s="5">
        <v>0.49</v>
      </c>
      <c r="G2">
        <v>20</v>
      </c>
      <c r="H2">
        <v>1</v>
      </c>
    </row>
    <row r="3" spans="1:8" x14ac:dyDescent="0.3">
      <c r="A3" s="2" t="s">
        <v>20</v>
      </c>
      <c r="B3" s="2" t="s">
        <v>10</v>
      </c>
      <c r="C3" s="3">
        <v>941</v>
      </c>
      <c r="D3" s="4">
        <v>0.10347000000000001</v>
      </c>
      <c r="E3" s="4">
        <f t="shared" ref="E3:E30" si="0">C3*D3</f>
        <v>97.36527000000001</v>
      </c>
      <c r="F3" s="5">
        <v>0.37</v>
      </c>
      <c r="G3">
        <v>14.6</v>
      </c>
      <c r="H3">
        <v>0</v>
      </c>
    </row>
    <row r="4" spans="1:8" x14ac:dyDescent="0.3">
      <c r="A4" s="2" t="s">
        <v>20</v>
      </c>
      <c r="B4" s="2" t="s">
        <v>15</v>
      </c>
      <c r="C4" s="3">
        <v>839</v>
      </c>
      <c r="D4" s="4">
        <v>0.10347000000000001</v>
      </c>
      <c r="E4" s="4">
        <f t="shared" si="0"/>
        <v>86.811330000000012</v>
      </c>
      <c r="F4" s="5">
        <v>0.17</v>
      </c>
      <c r="G4">
        <v>13.1</v>
      </c>
      <c r="H4">
        <v>0</v>
      </c>
    </row>
    <row r="5" spans="1:8" x14ac:dyDescent="0.3">
      <c r="A5" s="2" t="s">
        <v>20</v>
      </c>
      <c r="B5" s="2" t="s">
        <v>16</v>
      </c>
      <c r="C5" s="3">
        <v>884</v>
      </c>
      <c r="D5" s="4">
        <v>0.10347000000000001</v>
      </c>
      <c r="E5" s="4">
        <f t="shared" si="0"/>
        <v>91.467480000000009</v>
      </c>
      <c r="F5" s="5">
        <v>0.2</v>
      </c>
      <c r="G5">
        <v>8.6</v>
      </c>
      <c r="H5">
        <v>0</v>
      </c>
    </row>
    <row r="6" spans="1:8" x14ac:dyDescent="0.3">
      <c r="A6" s="2" t="s">
        <v>20</v>
      </c>
      <c r="B6" s="2" t="s">
        <v>17</v>
      </c>
      <c r="C6" s="3">
        <v>979</v>
      </c>
      <c r="D6" s="4">
        <v>0.12177</v>
      </c>
      <c r="E6" s="4">
        <f t="shared" si="0"/>
        <v>119.21283</v>
      </c>
      <c r="F6" s="5">
        <v>0.28000000000000003</v>
      </c>
      <c r="G6">
        <v>3.9</v>
      </c>
      <c r="H6">
        <v>1</v>
      </c>
    </row>
    <row r="7" spans="1:8" x14ac:dyDescent="0.3">
      <c r="A7" s="2" t="s">
        <v>21</v>
      </c>
      <c r="B7" s="2" t="s">
        <v>9</v>
      </c>
      <c r="C7" s="8">
        <v>1073.5440000000001</v>
      </c>
      <c r="D7" s="4">
        <v>0.12177</v>
      </c>
      <c r="E7" s="4">
        <f t="shared" si="0"/>
        <v>130.72545288000001</v>
      </c>
      <c r="F7" s="5">
        <v>0.16</v>
      </c>
      <c r="G7">
        <v>5.8</v>
      </c>
      <c r="H7">
        <v>0</v>
      </c>
    </row>
    <row r="8" spans="1:8" x14ac:dyDescent="0.3">
      <c r="A8" s="2" t="s">
        <v>21</v>
      </c>
      <c r="B8" s="2" t="s">
        <v>18</v>
      </c>
      <c r="C8" s="8">
        <v>943.62099999999998</v>
      </c>
      <c r="D8" s="4">
        <v>0.12177</v>
      </c>
      <c r="E8" s="4">
        <f t="shared" si="0"/>
        <v>114.90472917</v>
      </c>
      <c r="F8" s="5">
        <v>0.16</v>
      </c>
      <c r="G8">
        <v>5.7</v>
      </c>
      <c r="H8">
        <v>0</v>
      </c>
    </row>
    <row r="9" spans="1:8" x14ac:dyDescent="0.3">
      <c r="A9" s="2" t="s">
        <v>21</v>
      </c>
      <c r="B9" s="2" t="s">
        <v>19</v>
      </c>
      <c r="C9" s="8">
        <v>1019.2670000000001</v>
      </c>
      <c r="D9" s="4">
        <v>0.12177</v>
      </c>
      <c r="E9" s="4">
        <f t="shared" si="0"/>
        <v>124.11614259000001</v>
      </c>
      <c r="F9" s="5">
        <v>0.12</v>
      </c>
      <c r="G9">
        <v>7</v>
      </c>
      <c r="H9">
        <v>0</v>
      </c>
    </row>
    <row r="10" spans="1:8" x14ac:dyDescent="0.3">
      <c r="A10" s="2" t="s">
        <v>21</v>
      </c>
      <c r="B10" s="2" t="s">
        <v>11</v>
      </c>
      <c r="C10" s="8">
        <v>932.56700000000001</v>
      </c>
      <c r="D10" s="4">
        <v>0.12177</v>
      </c>
      <c r="E10" s="4">
        <f t="shared" si="0"/>
        <v>113.55868359</v>
      </c>
      <c r="F10" s="5">
        <v>0.12</v>
      </c>
      <c r="G10">
        <v>8.6999999999999993</v>
      </c>
      <c r="H10">
        <v>0</v>
      </c>
    </row>
    <row r="11" spans="1:8" x14ac:dyDescent="0.3">
      <c r="A11" s="2" t="s">
        <v>21</v>
      </c>
      <c r="B11" s="2" t="s">
        <v>13</v>
      </c>
      <c r="C11" s="3">
        <v>730</v>
      </c>
      <c r="D11" s="4">
        <v>0.12177</v>
      </c>
      <c r="E11" s="4">
        <f t="shared" si="0"/>
        <v>88.892099999999999</v>
      </c>
      <c r="F11" s="5">
        <v>0.1</v>
      </c>
      <c r="G11">
        <v>13.5</v>
      </c>
      <c r="H11">
        <v>0</v>
      </c>
    </row>
    <row r="12" spans="1:8" x14ac:dyDescent="0.3">
      <c r="A12" s="2" t="s">
        <v>21</v>
      </c>
      <c r="B12" s="2" t="s">
        <v>12</v>
      </c>
      <c r="C12" s="3">
        <v>1228</v>
      </c>
      <c r="D12" s="4">
        <v>0.12177</v>
      </c>
      <c r="E12" s="4">
        <f t="shared" si="0"/>
        <v>149.53355999999999</v>
      </c>
      <c r="F12" s="5">
        <v>0.11</v>
      </c>
      <c r="G12">
        <v>19.399999999999999</v>
      </c>
      <c r="H12">
        <v>0</v>
      </c>
    </row>
    <row r="13" spans="1:8" x14ac:dyDescent="0.3">
      <c r="A13" s="2" t="s">
        <v>21</v>
      </c>
      <c r="B13" s="2" t="s">
        <v>14</v>
      </c>
      <c r="C13" s="3">
        <v>816</v>
      </c>
      <c r="D13" s="4">
        <v>0.12177</v>
      </c>
      <c r="E13" s="4">
        <f t="shared" si="0"/>
        <v>99.364320000000006</v>
      </c>
      <c r="F13" s="5">
        <v>0.08</v>
      </c>
      <c r="G13">
        <v>18.100000000000001</v>
      </c>
      <c r="H13">
        <v>0</v>
      </c>
    </row>
    <row r="14" spans="1:8" x14ac:dyDescent="0.3">
      <c r="A14" s="6">
        <v>2023</v>
      </c>
      <c r="B14" s="6">
        <v>8</v>
      </c>
      <c r="C14" s="3">
        <v>745</v>
      </c>
      <c r="D14" s="4">
        <v>0.12177</v>
      </c>
      <c r="E14" s="4">
        <f t="shared" si="0"/>
        <v>90.718649999999997</v>
      </c>
      <c r="F14" s="5">
        <v>0.11</v>
      </c>
      <c r="G14">
        <v>17.600000000000001</v>
      </c>
      <c r="H14">
        <v>1</v>
      </c>
    </row>
    <row r="15" spans="1:8" x14ac:dyDescent="0.3">
      <c r="A15" s="2" t="s">
        <v>21</v>
      </c>
      <c r="B15" s="2" t="s">
        <v>10</v>
      </c>
      <c r="C15" s="3">
        <v>1014</v>
      </c>
      <c r="D15" s="4">
        <v>0.12177</v>
      </c>
      <c r="E15" s="4">
        <f t="shared" si="0"/>
        <v>123.47478000000001</v>
      </c>
      <c r="F15" s="5">
        <v>0.12</v>
      </c>
      <c r="G15">
        <v>17.5</v>
      </c>
      <c r="H15">
        <v>0</v>
      </c>
    </row>
    <row r="16" spans="1:8" x14ac:dyDescent="0.3">
      <c r="A16" s="6">
        <v>2023</v>
      </c>
      <c r="B16" s="6">
        <v>10</v>
      </c>
      <c r="C16" s="3">
        <v>1046</v>
      </c>
      <c r="D16" s="4">
        <v>0.12177</v>
      </c>
      <c r="E16" s="4">
        <f t="shared" si="0"/>
        <v>127.37142</v>
      </c>
      <c r="F16" s="5">
        <v>0.11</v>
      </c>
      <c r="G16">
        <v>13.2</v>
      </c>
      <c r="H16">
        <v>0</v>
      </c>
    </row>
    <row r="17" spans="1:8" x14ac:dyDescent="0.3">
      <c r="A17" s="2" t="s">
        <v>21</v>
      </c>
      <c r="B17" s="2" t="s">
        <v>16</v>
      </c>
      <c r="C17" s="3">
        <v>1086</v>
      </c>
      <c r="D17" s="4">
        <v>0.12177</v>
      </c>
      <c r="E17" s="4">
        <f t="shared" si="0"/>
        <v>132.24222</v>
      </c>
      <c r="F17" s="5">
        <v>0.11</v>
      </c>
      <c r="G17">
        <v>7.8</v>
      </c>
      <c r="H17">
        <v>0</v>
      </c>
    </row>
    <row r="18" spans="1:8" x14ac:dyDescent="0.3">
      <c r="A18" s="2" t="s">
        <v>21</v>
      </c>
      <c r="B18" s="2" t="s">
        <v>17</v>
      </c>
      <c r="C18" s="3">
        <v>1028</v>
      </c>
      <c r="D18" s="4">
        <v>0.12177</v>
      </c>
      <c r="E18" s="4">
        <f t="shared" si="0"/>
        <v>125.17956000000001</v>
      </c>
      <c r="F18" s="5">
        <v>0.08</v>
      </c>
      <c r="G18">
        <v>6.9</v>
      </c>
      <c r="H18">
        <v>1</v>
      </c>
    </row>
    <row r="19" spans="1:8" x14ac:dyDescent="0.3">
      <c r="A19" s="7">
        <v>2024</v>
      </c>
      <c r="B19" s="7">
        <v>1</v>
      </c>
      <c r="C19" s="3">
        <v>1388</v>
      </c>
      <c r="D19" s="4">
        <v>0.12177</v>
      </c>
      <c r="E19" s="4">
        <f t="shared" si="0"/>
        <v>169.01676</v>
      </c>
      <c r="F19" s="5">
        <v>0.1</v>
      </c>
      <c r="G19">
        <v>3.9</v>
      </c>
      <c r="H19">
        <v>0</v>
      </c>
    </row>
    <row r="20" spans="1:8" x14ac:dyDescent="0.3">
      <c r="A20" s="7">
        <v>2024</v>
      </c>
      <c r="B20" s="7">
        <v>2</v>
      </c>
      <c r="C20" s="3">
        <v>1000</v>
      </c>
      <c r="D20" s="4">
        <v>0.12177</v>
      </c>
      <c r="E20" s="4">
        <f t="shared" si="0"/>
        <v>121.77000000000001</v>
      </c>
      <c r="F20" s="5">
        <v>7.0000000000000007E-2</v>
      </c>
      <c r="G20">
        <v>8.1999999999999993</v>
      </c>
      <c r="H20">
        <v>0</v>
      </c>
    </row>
    <row r="21" spans="1:8" x14ac:dyDescent="0.3">
      <c r="A21" s="7">
        <v>2024</v>
      </c>
      <c r="B21" s="7">
        <v>3</v>
      </c>
      <c r="C21" s="3">
        <v>984</v>
      </c>
      <c r="D21" s="4">
        <v>0.12177</v>
      </c>
      <c r="E21" s="4">
        <f t="shared" si="0"/>
        <v>119.82168</v>
      </c>
      <c r="F21" s="5">
        <v>7.0000000000000007E-2</v>
      </c>
      <c r="G21">
        <v>9</v>
      </c>
      <c r="H21">
        <v>0</v>
      </c>
    </row>
    <row r="22" spans="1:8" x14ac:dyDescent="0.3">
      <c r="A22" s="2" t="s">
        <v>22</v>
      </c>
      <c r="B22" s="2" t="s">
        <v>11</v>
      </c>
      <c r="C22" s="3">
        <v>950</v>
      </c>
      <c r="D22" s="4">
        <v>0.12177</v>
      </c>
      <c r="E22" s="4">
        <f t="shared" si="0"/>
        <v>115.6815</v>
      </c>
      <c r="F22" s="5">
        <v>7.0000000000000007E-2</v>
      </c>
      <c r="G22">
        <v>10.8</v>
      </c>
      <c r="H22">
        <v>0</v>
      </c>
    </row>
    <row r="23" spans="1:8" x14ac:dyDescent="0.3">
      <c r="A23" s="6">
        <v>2024</v>
      </c>
      <c r="B23" s="6">
        <v>5</v>
      </c>
      <c r="C23" s="3">
        <v>967</v>
      </c>
      <c r="D23" s="4">
        <v>0.12177</v>
      </c>
      <c r="E23" s="4">
        <f t="shared" si="0"/>
        <v>117.75159000000001</v>
      </c>
      <c r="F23" s="5">
        <v>0.08</v>
      </c>
      <c r="G23">
        <v>15.5</v>
      </c>
      <c r="H23">
        <v>0</v>
      </c>
    </row>
    <row r="24" spans="1:8" x14ac:dyDescent="0.3">
      <c r="A24" s="6">
        <v>2024</v>
      </c>
      <c r="B24" s="6">
        <v>6</v>
      </c>
      <c r="C24" s="3">
        <v>1069</v>
      </c>
      <c r="D24" s="4">
        <v>0.12177</v>
      </c>
      <c r="E24" s="4">
        <f t="shared" si="0"/>
        <v>130.17213000000001</v>
      </c>
      <c r="F24" s="5">
        <v>0.08</v>
      </c>
      <c r="G24">
        <v>15.8</v>
      </c>
      <c r="H24">
        <v>0</v>
      </c>
    </row>
    <row r="25" spans="1:8" x14ac:dyDescent="0.3">
      <c r="A25" s="6">
        <v>2024</v>
      </c>
      <c r="B25" s="6">
        <v>7</v>
      </c>
      <c r="C25" s="3">
        <v>1264</v>
      </c>
      <c r="D25" s="4">
        <v>0.12177</v>
      </c>
      <c r="E25" s="4">
        <f t="shared" si="0"/>
        <v>153.91728000000001</v>
      </c>
      <c r="F25" s="5">
        <v>0.08</v>
      </c>
      <c r="G25">
        <v>18.100000000000001</v>
      </c>
      <c r="H25">
        <v>0</v>
      </c>
    </row>
    <row r="26" spans="1:8" x14ac:dyDescent="0.3">
      <c r="A26" s="6">
        <v>2024</v>
      </c>
      <c r="B26" s="6">
        <v>8</v>
      </c>
      <c r="C26" s="3">
        <f>799+95</f>
        <v>894</v>
      </c>
      <c r="D26" s="4">
        <v>0.12177</v>
      </c>
      <c r="E26" s="4">
        <f t="shared" si="0"/>
        <v>108.86238</v>
      </c>
      <c r="F26" s="5">
        <v>0.1</v>
      </c>
      <c r="G26">
        <v>19.3</v>
      </c>
      <c r="H26">
        <v>1</v>
      </c>
    </row>
    <row r="27" spans="1:8" x14ac:dyDescent="0.3">
      <c r="A27" s="2" t="s">
        <v>22</v>
      </c>
      <c r="B27" s="2" t="s">
        <v>10</v>
      </c>
      <c r="C27" s="3">
        <f>1095+134</f>
        <v>1229</v>
      </c>
      <c r="D27" s="4">
        <v>0.12177</v>
      </c>
      <c r="E27" s="4">
        <f t="shared" si="0"/>
        <v>149.65532999999999</v>
      </c>
      <c r="F27" s="5">
        <v>0.1</v>
      </c>
      <c r="G27">
        <v>15.8</v>
      </c>
      <c r="H27">
        <v>0</v>
      </c>
    </row>
    <row r="28" spans="1:8" x14ac:dyDescent="0.3">
      <c r="A28" s="2" t="s">
        <v>22</v>
      </c>
      <c r="B28" s="2" t="s">
        <v>15</v>
      </c>
      <c r="C28" s="3">
        <f>866+1480</f>
        <v>2346</v>
      </c>
      <c r="D28" s="4">
        <v>0.12177</v>
      </c>
      <c r="E28" s="4">
        <f t="shared" si="0"/>
        <v>285.67241999999999</v>
      </c>
      <c r="F28" s="5">
        <v>0.11</v>
      </c>
      <c r="G28">
        <v>12.1</v>
      </c>
      <c r="H28">
        <v>0</v>
      </c>
    </row>
    <row r="29" spans="1:8" x14ac:dyDescent="0.3">
      <c r="A29" s="2" t="s">
        <v>22</v>
      </c>
      <c r="B29" s="2" t="s">
        <v>16</v>
      </c>
      <c r="C29" s="3">
        <f>966+951</f>
        <v>1917</v>
      </c>
      <c r="D29" s="4">
        <v>0.12177</v>
      </c>
      <c r="E29" s="4">
        <f t="shared" si="0"/>
        <v>233.43308999999999</v>
      </c>
      <c r="F29" s="5">
        <v>0.13</v>
      </c>
      <c r="G29">
        <v>6.9</v>
      </c>
      <c r="H29">
        <v>0</v>
      </c>
    </row>
    <row r="30" spans="1:8" x14ac:dyDescent="0.3">
      <c r="A30" s="2" t="s">
        <v>22</v>
      </c>
      <c r="B30" s="2" t="s">
        <v>17</v>
      </c>
      <c r="C30">
        <v>1295</v>
      </c>
      <c r="D30" s="4">
        <v>0.12177</v>
      </c>
      <c r="E30" s="4">
        <f t="shared" si="0"/>
        <v>157.69215</v>
      </c>
      <c r="F30" s="5">
        <v>0.13</v>
      </c>
      <c r="G30">
        <v>6.1</v>
      </c>
      <c r="H30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Heuvel, Chris van den</dc:creator>
  <cp:lastModifiedBy>Heuvel, Chris van den</cp:lastModifiedBy>
  <dcterms:created xsi:type="dcterms:W3CDTF">2025-06-03T12:40:59Z</dcterms:created>
  <dcterms:modified xsi:type="dcterms:W3CDTF">2025-06-03T12:46:54Z</dcterms:modified>
</cp:coreProperties>
</file>